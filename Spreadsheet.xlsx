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FE0A19B-5253-4460-A692-73FBCD016E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icket" sheetId="1" r:id="rId1"/>
    <sheet name="feedbacks" sheetId="2" r:id="rId2"/>
    <sheet name="outlet_analysis" sheetId="3" r:id="rId3"/>
  </sheets>
  <calcPr calcId="191029"/>
</workbook>
</file>

<file path=xl/calcChain.xml><?xml version="1.0" encoding="utf-8"?>
<calcChain xmlns="http://schemas.openxmlformats.org/spreadsheetml/2006/main">
  <c r="C2" i="3" l="1"/>
  <c r="B2" i="3"/>
  <c r="D2" i="2"/>
</calcChain>
</file>

<file path=xl/sharedStrings.xml><?xml version="1.0" encoding="utf-8"?>
<sst xmlns="http://schemas.openxmlformats.org/spreadsheetml/2006/main" count="12" uniqueCount="10">
  <si>
    <t>ticket_id</t>
  </si>
  <si>
    <t>created_at</t>
  </si>
  <si>
    <t>closed_at</t>
  </si>
  <si>
    <t>outlet_id</t>
  </si>
  <si>
    <t>cms_id</t>
  </si>
  <si>
    <t>feedback_at</t>
  </si>
  <si>
    <t>feedback_rating</t>
  </si>
  <si>
    <t>ticket_created_at</t>
  </si>
  <si>
    <t>same_day_count</t>
  </si>
  <si>
    <t>same_hour_count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</si>
</sst>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/>
  </sheetViews>
  <sheetFormatPr defaultRowHeight="15" x14ac:dyDescent="0.25"/>
  <cols>
    <col min="1" max="1" width="8.7109375" bestFit="1" customWidth="1"/>
    <col min="2" max="2" width="10.42578125" bestFit="1" customWidth="1"/>
    <col min="3" max="3" width="9.42578125" bestFit="1" customWidth="1"/>
    <col min="5" max="5" width="7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5" x14ac:dyDescent="0.25"/>
  <cols>
    <col min="1" max="1" width="7.140625" bestFit="1" customWidth="1"/>
    <col min="2" max="2" width="11.85546875" bestFit="1" customWidth="1"/>
    <col min="3" max="3" width="15.42578125" bestFit="1" customWidth="1"/>
    <col min="4" max="4" width="16.5703125" bestFit="1" customWidth="1"/>
  </cols>
  <sheetData>
    <row r="1" spans="1:4" x14ac:dyDescent="0.25">
      <c r="A1" t="s">
        <v>4</v>
      </c>
      <c r="B1" t="s">
        <v>5</v>
      </c>
      <c r="C1" t="s">
        <v>6</v>
      </c>
      <c r="D1" t="s">
        <v>7</v>
      </c>
    </row>
    <row r="2" spans="1:4" x14ac:dyDescent="0.25">
      <c r="D2" t="e">
        <f ca="1">XLOOKUP(A2, ticket!E:E, ticket!B:B, "")</f>
        <v>#NAME?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5" x14ac:dyDescent="0.25"/>
  <cols>
    <col min="2" max="2" width="16" bestFit="1" customWidth="1"/>
    <col min="3" max="3" width="17" bestFit="1" customWidth="1"/>
  </cols>
  <sheetData>
    <row r="1" spans="1:3" x14ac:dyDescent="0.25">
      <c r="A1" t="s">
        <v>3</v>
      </c>
      <c r="B1" t="s">
        <v>8</v>
      </c>
      <c r="C1" t="s">
        <v>9</v>
      </c>
    </row>
    <row r="2" spans="1:3" x14ac:dyDescent="0.25">
      <c r="B2" t="e">
        <f>SUMPRODUCT((ticket!D:D=A2)*(INT(ticket!B:B)=INT(ticket!C:C)))</f>
        <v>#VALUE!</v>
      </c>
      <c r="C2" t="e">
        <f>SUMPRODUCT((ticket!D:D=A2)*(INT(ticket!B:B)=INT(ticket!C:C))*(HOUR(ticket!B:B)=HOUR(ticket!C:C)))</f>
        <v>#VALUE!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</vt:lpstr>
      <vt:lpstr>feedbacks</vt:lpstr>
      <vt:lpstr>outlet_analysis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MANIKUMAR CHEEMA</cp:lastModifiedBy>
  <dcterms:created xsi:type="dcterms:W3CDTF">2025-12-02T16:30:05Z</dcterms:created>
  <dcterms:modified xsi:type="dcterms:W3CDTF">2025-12-02T16:31:59Z</dcterms:modified>
</cp:coreProperties>
</file>